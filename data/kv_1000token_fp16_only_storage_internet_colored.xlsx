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siddhantray/Downloads/"/>
    </mc:Choice>
  </mc:AlternateContent>
  <xr:revisionPtr revIDLastSave="0" documentId="13_ncr:1_{19AF5D09-0961-574F-9309-23443358DC80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torage K Ratios" sheetId="1" r:id="rId1"/>
    <sheet name="Calculations" sheetId="3" r:id="rId2"/>
  </sheets>
  <calcPr calcId="0"/>
</workbook>
</file>

<file path=xl/sharedStrings.xml><?xml version="1.0" encoding="utf-8"?>
<sst xmlns="http://schemas.openxmlformats.org/spreadsheetml/2006/main" count="562" uniqueCount="174">
  <si>
    <t>Family</t>
  </si>
  <si>
    <t>Model</t>
  </si>
  <si>
    <t>Release Date</t>
  </si>
  <si>
    <t>KV cache size for 1000 tokens FP16 (MB)</t>
  </si>
  <si>
    <t>Prefill FLOPs for 1000 tokens (TFLOPs)</t>
  </si>
  <si>
    <t>Current ratio = KV MB / Prefill TFLOPs</t>
  </si>
  <si>
    <t>Min ratio K=1 hour (MB/TFLOP)</t>
  </si>
  <si>
    <t>Min ratio K=1 day (MB/TFLOP)</t>
  </si>
  <si>
    <t>Min ratio K=1 month (MB/TFLOP)</t>
  </si>
  <si>
    <t>Min ratio K=1 year (MB/TFLOP)</t>
  </si>
  <si>
    <t>Architecture</t>
  </si>
  <si>
    <t>Databricks</t>
  </si>
  <si>
    <t>DBRX 132B-A36B</t>
  </si>
  <si>
    <t>2024-03</t>
  </si>
  <si>
    <t>1.322751 ✗</t>
  </si>
  <si>
    <t>0.055115 ✗</t>
  </si>
  <si>
    <t>0.001837 ✗</t>
  </si>
  <si>
    <t>0.000153 ✗</t>
  </si>
  <si>
    <t>Fine-grained MoE + GQA</t>
  </si>
  <si>
    <t>DeepSeek</t>
  </si>
  <si>
    <t>DeepSeek-V3 671B-A37B</t>
  </si>
  <si>
    <t>2024-12</t>
  </si>
  <si>
    <t>1.322751 ✓</t>
  </si>
  <si>
    <t>MoE + MLA</t>
  </si>
  <si>
    <t>DeepSeek-R1 671B-A37B</t>
  </si>
  <si>
    <t>2025-01</t>
  </si>
  <si>
    <t>DeepSeek V4-Flash 285B-A13B</t>
  </si>
  <si>
    <t>2026-04</t>
  </si>
  <si>
    <t>MoE + CSA/HCA</t>
  </si>
  <si>
    <t>DeepSeek V4-Pro 1.6T-A49B</t>
  </si>
  <si>
    <t>ERNIE</t>
  </si>
  <si>
    <t>ERNIE 4.5 21B-A3B</t>
  </si>
  <si>
    <t>2025-07</t>
  </si>
  <si>
    <t>MoE</t>
  </si>
  <si>
    <t>ERNIE 4.5 424B-A47B</t>
  </si>
  <si>
    <t>EXAONE</t>
  </si>
  <si>
    <t>EXAONE 4.5 33B</t>
  </si>
  <si>
    <t>Dense / VLM hybrid</t>
  </si>
  <si>
    <t>Falcon</t>
  </si>
  <si>
    <t>Falcon 40B</t>
  </si>
  <si>
    <t>2023-05</t>
  </si>
  <si>
    <t>Dense MQA/GQA</t>
  </si>
  <si>
    <t>Falcon 7B</t>
  </si>
  <si>
    <t>Dense MQA</t>
  </si>
  <si>
    <t>Falcon-H1 34B</t>
  </si>
  <si>
    <t>2025-05</t>
  </si>
  <si>
    <t>Hybrid SSM + Attention</t>
  </si>
  <si>
    <t>GLM</t>
  </si>
  <si>
    <t>ChatGLM-6B</t>
  </si>
  <si>
    <t>2023-03</t>
  </si>
  <si>
    <t>Dense MHA</t>
  </si>
  <si>
    <t>ChatGLM2-6B</t>
  </si>
  <si>
    <t>2023-06</t>
  </si>
  <si>
    <t>ChatGLM3-6B</t>
  </si>
  <si>
    <t>2023-10</t>
  </si>
  <si>
    <t>GLM-4-9B-Chat</t>
  </si>
  <si>
    <t>2024-06</t>
  </si>
  <si>
    <t>GLM-4.5 355B-A32B</t>
  </si>
  <si>
    <t>MoE + GQA</t>
  </si>
  <si>
    <t>GLM-4.5-Air 106B-A12B</t>
  </si>
  <si>
    <t>GLM-5</t>
  </si>
  <si>
    <t>2026-02</t>
  </si>
  <si>
    <t>GLM-5.1</t>
  </si>
  <si>
    <t>Gemma</t>
  </si>
  <si>
    <t>Gemma 7B</t>
  </si>
  <si>
    <t>2024-02</t>
  </si>
  <si>
    <t>Gemma 2 27B</t>
  </si>
  <si>
    <t>Dense GQA + local/global</t>
  </si>
  <si>
    <t>Gemma 2 9B</t>
  </si>
  <si>
    <t>Gemma 3 27B</t>
  </si>
  <si>
    <t>2025-03</t>
  </si>
  <si>
    <t>Gemma 4 26B-A4B</t>
  </si>
  <si>
    <t>MoE + GQA + local/global</t>
  </si>
  <si>
    <t>Gemma 4 31B</t>
  </si>
  <si>
    <t>Dense / multimodal</t>
  </si>
  <si>
    <t>Kimi</t>
  </si>
  <si>
    <t>Kimi K2 1T-A32B</t>
  </si>
  <si>
    <t>Kimi K2.5 1T-A32B</t>
  </si>
  <si>
    <t>2026-01</t>
  </si>
  <si>
    <t>Llama</t>
  </si>
  <si>
    <t>LLaMA 1 13B</t>
  </si>
  <si>
    <t>2023-02</t>
  </si>
  <si>
    <t>LLaMA 1 65B</t>
  </si>
  <si>
    <t>LLaMA 1 7B</t>
  </si>
  <si>
    <t>Llama 2 13B</t>
  </si>
  <si>
    <t>2023-07</t>
  </si>
  <si>
    <t>Llama 2 70B</t>
  </si>
  <si>
    <t>Dense GQA</t>
  </si>
  <si>
    <t>Llama 2 7B</t>
  </si>
  <si>
    <t>Llama 3 70B</t>
  </si>
  <si>
    <t>2024-04</t>
  </si>
  <si>
    <t>Llama 3 8B</t>
  </si>
  <si>
    <t>Llama 3.1 405B</t>
  </si>
  <si>
    <t>2024-07</t>
  </si>
  <si>
    <t>Llama 4 Maverick 17B-128E</t>
  </si>
  <si>
    <t>2025-04</t>
  </si>
  <si>
    <t>MoE top-1 + GQA</t>
  </si>
  <si>
    <t>Llama 4 Scout 17B-16E</t>
  </si>
  <si>
    <t>MiniMax</t>
  </si>
  <si>
    <t>MiniMax M2.1 230B-A10B</t>
  </si>
  <si>
    <t>2025-12</t>
  </si>
  <si>
    <t>MoE + GQA / hybrid</t>
  </si>
  <si>
    <t>MiniMax M2.5 230B-A10B</t>
  </si>
  <si>
    <t>Mistral</t>
  </si>
  <si>
    <t>Mistral 7B</t>
  </si>
  <si>
    <t>2023-09</t>
  </si>
  <si>
    <t>Dense GQA + SWA</t>
  </si>
  <si>
    <t>Mixtral 8x7B</t>
  </si>
  <si>
    <t>2023-12</t>
  </si>
  <si>
    <t>MoE top-2 + GQA</t>
  </si>
  <si>
    <t>Mixtral 8x22B</t>
  </si>
  <si>
    <t>Mistral Nemo 12B</t>
  </si>
  <si>
    <t>Mistral Small 24B</t>
  </si>
  <si>
    <t>Phi</t>
  </si>
  <si>
    <t>Phi-3 Medium 14B</t>
  </si>
  <si>
    <t>Phi-3 Mini 3.8B</t>
  </si>
  <si>
    <t>Phi-3 Small 7B</t>
  </si>
  <si>
    <t>Phi-4 14B</t>
  </si>
  <si>
    <t>Qwen</t>
  </si>
  <si>
    <t>Qwen 7B</t>
  </si>
  <si>
    <t>2023-08</t>
  </si>
  <si>
    <t>Qwen 14B</t>
  </si>
  <si>
    <t>Qwen2 57B-A14B</t>
  </si>
  <si>
    <t>MoE top-8 + GQA</t>
  </si>
  <si>
    <t>Qwen2 7B</t>
  </si>
  <si>
    <t>Qwen2.5 14B</t>
  </si>
  <si>
    <t>2024-09</t>
  </si>
  <si>
    <t>Qwen2.5 72B</t>
  </si>
  <si>
    <t>Qwen2.5 7B</t>
  </si>
  <si>
    <t>Qwen3 235B-A22B</t>
  </si>
  <si>
    <t>Qwen3 32B</t>
  </si>
  <si>
    <t>Qwen3 8B</t>
  </si>
  <si>
    <t>Qwen3 30B-A3B</t>
  </si>
  <si>
    <t>Qwen3.5 122B-A10B</t>
  </si>
  <si>
    <t>2026-03</t>
  </si>
  <si>
    <t>Qwen3.5 397B-A17B</t>
  </si>
  <si>
    <t>Qwen3.5 9B</t>
  </si>
  <si>
    <t>Yi</t>
  </si>
  <si>
    <t>Yi 34B</t>
  </si>
  <si>
    <t>2023-11</t>
  </si>
  <si>
    <t>Yi 6B</t>
  </si>
  <si>
    <t>Assumption / Formula</t>
  </si>
  <si>
    <t>Value</t>
  </si>
  <si>
    <t>GPU price ($/hour)</t>
  </si>
  <si>
    <t>GPU peak throughput (TFLOP/s)</t>
  </si>
  <si>
    <t>GPU cost per TFLOP = price / (TFLOP/s × 3600)</t>
  </si>
  <si>
    <t>Prefix length (tokens)</t>
  </si>
  <si>
    <t>Displayed KV metric</t>
  </si>
  <si>
    <t>KV cache size for 1000 tokens in decimal MB, FP16/BF16 precision</t>
  </si>
  <si>
    <t>KV MB formula</t>
  </si>
  <si>
    <t>KV/token MiB × 1.048576 × 1000</t>
  </si>
  <si>
    <t>Prefill FLOPs metric</t>
  </si>
  <si>
    <t>Prefill FLOPs for 1000 tokens in TFLOPs</t>
  </si>
  <si>
    <t>Current ratio formula</t>
  </si>
  <si>
    <t>KV cache size for 1000 tokens FP16 (MB) / prefill FLOPs for 1000 tokens (TFLOPs)</t>
  </si>
  <si>
    <t>Storage price ($/TB-hour)</t>
  </si>
  <si>
    <t>Storage cost per MB-hour = storage $/TB-hour / 1,000,000</t>
  </si>
  <si>
    <t>Storage min ratio formula</t>
  </si>
  <si>
    <t>GPU cost per TFLOP / (K hours × storage cost per MB-hour)</t>
  </si>
  <si>
    <t>K = 1 hour minimum ratio (MB/TFLOP)</t>
  </si>
  <si>
    <t>K = 1 day minimum ratio (MB/TFLOP)</t>
  </si>
  <si>
    <t>K = 1 month minimum ratio (MB/TFLOP)</t>
  </si>
  <si>
    <t>K = 1 year minimum ratio (MB/TFLOP)</t>
  </si>
  <si>
    <t>Internet speed</t>
  </si>
  <si>
    <t>100 Mbps</t>
  </si>
  <si>
    <t>Internet monthly cost</t>
  </si>
  <si>
    <t>Internet cost per second = monthly cost / 30-day month</t>
  </si>
  <si>
    <t>Transfer time per MB at 100 Mbps</t>
  </si>
  <si>
    <t>Transfer cost per MB at 100 Mbps</t>
  </si>
  <si>
    <t>Internet min ratio formula</t>
  </si>
  <si>
    <t>GPU cost per TFLOP / transfer cost per MB</t>
  </si>
  <si>
    <t>100 Mbps transfer minimum ratio (MB/TFLOP)</t>
  </si>
  <si>
    <t>Decision rule</t>
  </si>
  <si>
    <t>✓ if FP16 current ratio &lt; minimum ratio; ✗ otherwise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</si>
</sst>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8"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orageKRatioFP16Table" displayName="StorageKRatioFP16Table" ref="A1:K66">
  <tableColumns count="11">
    <tableColumn id="1" xr3:uid="{00000000-0010-0000-0000-000001000000}" name="Family"/>
    <tableColumn id="2" xr3:uid="{00000000-0010-0000-0000-000002000000}" name="Model"/>
    <tableColumn id="3" xr3:uid="{00000000-0010-0000-0000-000003000000}" name="Release Date"/>
    <tableColumn id="4" xr3:uid="{00000000-0010-0000-0000-000004000000}" name="KV cache size for 1000 tokens FP16 (MB)"/>
    <tableColumn id="5" xr3:uid="{00000000-0010-0000-0000-000005000000}" name="Prefill FLOPs for 1000 tokens (TFLOPs)"/>
    <tableColumn id="6" xr3:uid="{00000000-0010-0000-0000-000006000000}" name="Current ratio = KV MB / Prefill TFLOPs"/>
    <tableColumn id="7" xr3:uid="{00000000-0010-0000-0000-000007000000}" name="Min ratio K=1 hour (MB/TFLOP)"/>
    <tableColumn id="8" xr3:uid="{00000000-0010-0000-0000-000008000000}" name="Min ratio K=1 day (MB/TFLOP)"/>
    <tableColumn id="9" xr3:uid="{00000000-0010-0000-0000-000009000000}" name="Min ratio K=1 month (MB/TFLOP)"/>
    <tableColumn id="10" xr3:uid="{00000000-0010-0000-0000-00000A000000}" name="Min ratio K=1 year (MB/TFLOP)"/>
    <tableColumn id="11" xr3:uid="{00000000-0010-0000-0000-00000B000000}" name="Architectu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lculationsTable" displayName="CalculationsTable" ref="A1:B24">
  <tableColumns count="2">
    <tableColumn id="1" xr3:uid="{00000000-0010-0000-0200-000001000000}" name="Assumption / Formula"/>
    <tableColumn id="2" xr3:uid="{00000000-0010-0000-02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workbookViewId="0"/>
  </sheetViews>
  <sheetFormatPr baseColWidth="10" defaultColWidth="8.83203125" defaultRowHeight="15"/>
  <cols>
    <col min="1" max="1" width="14" customWidth="1"/>
    <col min="2" max="2" width="36" customWidth="1"/>
    <col min="3" max="3" width="13" customWidth="1"/>
    <col min="4" max="4" width="30" customWidth="1"/>
    <col min="5" max="5" width="31" customWidth="1"/>
    <col min="6" max="6" width="30" customWidth="1"/>
    <col min="7" max="10" width="31" customWidth="1"/>
    <col min="11" max="11" width="30" customWidth="1"/>
  </cols>
  <sheetData>
    <row r="1" spans="1:11" ht="61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6">
      <c r="A2" s="4" t="s">
        <v>11</v>
      </c>
      <c r="B2" s="4" t="s">
        <v>12</v>
      </c>
      <c r="C2" s="5" t="s">
        <v>13</v>
      </c>
      <c r="D2" s="6">
        <v>163.78757100000001</v>
      </c>
      <c r="E2" s="6">
        <v>71.45</v>
      </c>
      <c r="F2" s="6">
        <v>2.292338</v>
      </c>
      <c r="G2" s="5" t="s">
        <v>14</v>
      </c>
      <c r="H2" s="5" t="s">
        <v>15</v>
      </c>
      <c r="I2" s="5" t="s">
        <v>16</v>
      </c>
      <c r="J2" s="5" t="s">
        <v>17</v>
      </c>
      <c r="K2" s="4" t="s">
        <v>18</v>
      </c>
    </row>
    <row r="3" spans="1:11" ht="16">
      <c r="A3" s="4" t="s">
        <v>19</v>
      </c>
      <c r="B3" s="4" t="s">
        <v>20</v>
      </c>
      <c r="C3" s="5" t="s">
        <v>21</v>
      </c>
      <c r="D3" s="6">
        <v>70.254592000000002</v>
      </c>
      <c r="E3" s="6">
        <v>96.78</v>
      </c>
      <c r="F3" s="6">
        <v>0.72592100000000004</v>
      </c>
      <c r="G3" s="5" t="s">
        <v>22</v>
      </c>
      <c r="H3" s="5" t="s">
        <v>15</v>
      </c>
      <c r="I3" s="5" t="s">
        <v>16</v>
      </c>
      <c r="J3" s="5" t="s">
        <v>17</v>
      </c>
      <c r="K3" s="4" t="s">
        <v>23</v>
      </c>
    </row>
    <row r="4" spans="1:11" ht="16">
      <c r="A4" s="4" t="s">
        <v>19</v>
      </c>
      <c r="B4" s="4" t="s">
        <v>24</v>
      </c>
      <c r="C4" s="5" t="s">
        <v>25</v>
      </c>
      <c r="D4" s="6">
        <v>70.254592000000002</v>
      </c>
      <c r="E4" s="6">
        <v>96.78</v>
      </c>
      <c r="F4" s="6">
        <v>0.72592100000000004</v>
      </c>
      <c r="G4" s="5" t="s">
        <v>22</v>
      </c>
      <c r="H4" s="5" t="s">
        <v>15</v>
      </c>
      <c r="I4" s="5" t="s">
        <v>16</v>
      </c>
      <c r="J4" s="5" t="s">
        <v>17</v>
      </c>
      <c r="K4" s="4" t="s">
        <v>23</v>
      </c>
    </row>
    <row r="5" spans="1:11" ht="16">
      <c r="A5" s="4" t="s">
        <v>19</v>
      </c>
      <c r="B5" s="4" t="s">
        <v>26</v>
      </c>
      <c r="C5" s="5" t="s">
        <v>27</v>
      </c>
      <c r="D5" s="6">
        <v>6.0121599999999997</v>
      </c>
      <c r="E5" s="6">
        <v>26</v>
      </c>
      <c r="F5" s="6">
        <v>0.231237</v>
      </c>
      <c r="G5" s="5" t="s">
        <v>22</v>
      </c>
      <c r="H5" s="5" t="s">
        <v>15</v>
      </c>
      <c r="I5" s="5" t="s">
        <v>16</v>
      </c>
      <c r="J5" s="5" t="s">
        <v>17</v>
      </c>
      <c r="K5" s="4" t="s">
        <v>28</v>
      </c>
    </row>
    <row r="6" spans="1:11" ht="16">
      <c r="A6" s="4" t="s">
        <v>19</v>
      </c>
      <c r="B6" s="4" t="s">
        <v>29</v>
      </c>
      <c r="C6" s="5" t="s">
        <v>27</v>
      </c>
      <c r="D6" s="6">
        <v>8.5888000000000009</v>
      </c>
      <c r="E6" s="6">
        <v>98</v>
      </c>
      <c r="F6" s="6">
        <v>8.7640999999999997E-2</v>
      </c>
      <c r="G6" s="5" t="s">
        <v>22</v>
      </c>
      <c r="H6" s="5" t="s">
        <v>15</v>
      </c>
      <c r="I6" s="5" t="s">
        <v>16</v>
      </c>
      <c r="J6" s="5" t="s">
        <v>17</v>
      </c>
      <c r="K6" s="4" t="s">
        <v>28</v>
      </c>
    </row>
    <row r="7" spans="1:11" ht="16">
      <c r="A7" s="4" t="s">
        <v>30</v>
      </c>
      <c r="B7" s="4" t="s">
        <v>31</v>
      </c>
      <c r="C7" s="5" t="s">
        <v>32</v>
      </c>
      <c r="D7" s="6">
        <v>57.344000000000001</v>
      </c>
      <c r="E7" s="6">
        <v>6</v>
      </c>
      <c r="F7" s="6">
        <v>9.5573329999999999</v>
      </c>
      <c r="G7" s="5" t="s">
        <v>14</v>
      </c>
      <c r="H7" s="5" t="s">
        <v>15</v>
      </c>
      <c r="I7" s="5" t="s">
        <v>16</v>
      </c>
      <c r="J7" s="5" t="s">
        <v>17</v>
      </c>
      <c r="K7" s="4" t="s">
        <v>33</v>
      </c>
    </row>
    <row r="8" spans="1:11" ht="16">
      <c r="A8" s="4" t="s">
        <v>30</v>
      </c>
      <c r="B8" s="4" t="s">
        <v>34</v>
      </c>
      <c r="C8" s="5" t="s">
        <v>32</v>
      </c>
      <c r="D8" s="6">
        <v>138.24</v>
      </c>
      <c r="E8" s="6">
        <v>94</v>
      </c>
      <c r="F8" s="6">
        <v>1.4706379999999999</v>
      </c>
      <c r="G8" s="5" t="s">
        <v>14</v>
      </c>
      <c r="H8" s="5" t="s">
        <v>15</v>
      </c>
      <c r="I8" s="5" t="s">
        <v>16</v>
      </c>
      <c r="J8" s="5" t="s">
        <v>17</v>
      </c>
      <c r="K8" s="4" t="s">
        <v>33</v>
      </c>
    </row>
    <row r="9" spans="1:11" ht="16">
      <c r="A9" s="4" t="s">
        <v>35</v>
      </c>
      <c r="B9" s="4" t="s">
        <v>36</v>
      </c>
      <c r="C9" s="5" t="s">
        <v>27</v>
      </c>
      <c r="D9" s="6">
        <v>262.14400000000001</v>
      </c>
      <c r="E9" s="6">
        <v>63.4</v>
      </c>
      <c r="F9" s="6">
        <v>4.1347630000000004</v>
      </c>
      <c r="G9" s="5" t="s">
        <v>14</v>
      </c>
      <c r="H9" s="5" t="s">
        <v>15</v>
      </c>
      <c r="I9" s="5" t="s">
        <v>16</v>
      </c>
      <c r="J9" s="5" t="s">
        <v>17</v>
      </c>
      <c r="K9" s="4" t="s">
        <v>37</v>
      </c>
    </row>
    <row r="10" spans="1:11" ht="16">
      <c r="A10" s="4" t="s">
        <v>38</v>
      </c>
      <c r="B10" s="4" t="s">
        <v>39</v>
      </c>
      <c r="C10" s="5" t="s">
        <v>40</v>
      </c>
      <c r="D10" s="6">
        <v>122.893107</v>
      </c>
      <c r="E10" s="6">
        <v>83.5</v>
      </c>
      <c r="F10" s="6">
        <v>1.4717739999999999</v>
      </c>
      <c r="G10" s="5" t="s">
        <v>14</v>
      </c>
      <c r="H10" s="5" t="s">
        <v>15</v>
      </c>
      <c r="I10" s="5" t="s">
        <v>16</v>
      </c>
      <c r="J10" s="5" t="s">
        <v>17</v>
      </c>
      <c r="K10" s="4" t="s">
        <v>41</v>
      </c>
    </row>
    <row r="11" spans="1:11" ht="16">
      <c r="A11" s="4" t="s">
        <v>38</v>
      </c>
      <c r="B11" s="4" t="s">
        <v>42</v>
      </c>
      <c r="C11" s="5" t="s">
        <v>40</v>
      </c>
      <c r="D11" s="6">
        <v>8.1788930000000004</v>
      </c>
      <c r="E11" s="6">
        <v>13.83</v>
      </c>
      <c r="F11" s="6">
        <v>0.59138800000000002</v>
      </c>
      <c r="G11" s="5" t="s">
        <v>22</v>
      </c>
      <c r="H11" s="5" t="s">
        <v>15</v>
      </c>
      <c r="I11" s="5" t="s">
        <v>16</v>
      </c>
      <c r="J11" s="5" t="s">
        <v>17</v>
      </c>
      <c r="K11" s="4" t="s">
        <v>43</v>
      </c>
    </row>
    <row r="12" spans="1:11" ht="16">
      <c r="A12" s="4" t="s">
        <v>38</v>
      </c>
      <c r="B12" s="4" t="s">
        <v>44</v>
      </c>
      <c r="C12" s="5" t="s">
        <v>45</v>
      </c>
      <c r="D12" s="6">
        <v>147.45599999999999</v>
      </c>
      <c r="E12" s="6">
        <v>68</v>
      </c>
      <c r="F12" s="6">
        <v>2.1684709999999998</v>
      </c>
      <c r="G12" s="5" t="s">
        <v>14</v>
      </c>
      <c r="H12" s="5" t="s">
        <v>15</v>
      </c>
      <c r="I12" s="5" t="s">
        <v>16</v>
      </c>
      <c r="J12" s="5" t="s">
        <v>17</v>
      </c>
      <c r="K12" s="4" t="s">
        <v>46</v>
      </c>
    </row>
    <row r="13" spans="1:11" ht="16">
      <c r="A13" s="4" t="s">
        <v>47</v>
      </c>
      <c r="B13" s="4" t="s">
        <v>48</v>
      </c>
      <c r="C13" s="5" t="s">
        <v>49</v>
      </c>
      <c r="D13" s="6">
        <v>458.75200000000001</v>
      </c>
      <c r="E13" s="6">
        <v>11.73</v>
      </c>
      <c r="F13" s="6">
        <v>39.109292000000003</v>
      </c>
      <c r="G13" s="5" t="s">
        <v>14</v>
      </c>
      <c r="H13" s="5" t="s">
        <v>15</v>
      </c>
      <c r="I13" s="5" t="s">
        <v>16</v>
      </c>
      <c r="J13" s="5" t="s">
        <v>17</v>
      </c>
      <c r="K13" s="4" t="s">
        <v>50</v>
      </c>
    </row>
    <row r="14" spans="1:11" ht="16">
      <c r="A14" s="4" t="s">
        <v>47</v>
      </c>
      <c r="B14" s="4" t="s">
        <v>51</v>
      </c>
      <c r="C14" s="5" t="s">
        <v>52</v>
      </c>
      <c r="D14" s="6">
        <v>28.626124999999998</v>
      </c>
      <c r="E14" s="6">
        <v>11.88</v>
      </c>
      <c r="F14" s="6">
        <v>2.4096060000000001</v>
      </c>
      <c r="G14" s="5" t="s">
        <v>14</v>
      </c>
      <c r="H14" s="5" t="s">
        <v>15</v>
      </c>
      <c r="I14" s="5" t="s">
        <v>16</v>
      </c>
      <c r="J14" s="5" t="s">
        <v>17</v>
      </c>
      <c r="K14" s="4" t="s">
        <v>41</v>
      </c>
    </row>
    <row r="15" spans="1:11" ht="16">
      <c r="A15" s="4" t="s">
        <v>47</v>
      </c>
      <c r="B15" s="4" t="s">
        <v>53</v>
      </c>
      <c r="C15" s="5" t="s">
        <v>54</v>
      </c>
      <c r="D15" s="6">
        <v>28.626124999999998</v>
      </c>
      <c r="E15" s="6">
        <v>11.88</v>
      </c>
      <c r="F15" s="6">
        <v>2.4096060000000001</v>
      </c>
      <c r="G15" s="5" t="s">
        <v>14</v>
      </c>
      <c r="H15" s="5" t="s">
        <v>15</v>
      </c>
      <c r="I15" s="5" t="s">
        <v>16</v>
      </c>
      <c r="J15" s="5" t="s">
        <v>17</v>
      </c>
      <c r="K15" s="4" t="s">
        <v>41</v>
      </c>
    </row>
    <row r="16" spans="1:11" ht="16">
      <c r="A16" s="4" t="s">
        <v>47</v>
      </c>
      <c r="B16" s="4" t="s">
        <v>55</v>
      </c>
      <c r="C16" s="5" t="s">
        <v>56</v>
      </c>
      <c r="D16" s="6">
        <v>40.999321999999999</v>
      </c>
      <c r="E16" s="6">
        <v>16.97</v>
      </c>
      <c r="F16" s="6">
        <v>2.415988</v>
      </c>
      <c r="G16" s="5" t="s">
        <v>14</v>
      </c>
      <c r="H16" s="5" t="s">
        <v>15</v>
      </c>
      <c r="I16" s="5" t="s">
        <v>16</v>
      </c>
      <c r="J16" s="5" t="s">
        <v>17</v>
      </c>
      <c r="K16" s="4" t="s">
        <v>41</v>
      </c>
    </row>
    <row r="17" spans="1:11" ht="16">
      <c r="A17" s="4" t="s">
        <v>47</v>
      </c>
      <c r="B17" s="4" t="s">
        <v>57</v>
      </c>
      <c r="C17" s="5" t="s">
        <v>32</v>
      </c>
      <c r="D17" s="6">
        <v>376.85821399999998</v>
      </c>
      <c r="E17" s="6">
        <v>52.39</v>
      </c>
      <c r="F17" s="6">
        <v>7.1933230000000004</v>
      </c>
      <c r="G17" s="5" t="s">
        <v>14</v>
      </c>
      <c r="H17" s="5" t="s">
        <v>15</v>
      </c>
      <c r="I17" s="5" t="s">
        <v>16</v>
      </c>
      <c r="J17" s="5" t="s">
        <v>17</v>
      </c>
      <c r="K17" s="4" t="s">
        <v>58</v>
      </c>
    </row>
    <row r="18" spans="1:11" ht="16">
      <c r="A18" s="4" t="s">
        <v>47</v>
      </c>
      <c r="B18" s="4" t="s">
        <v>59</v>
      </c>
      <c r="C18" s="5" t="s">
        <v>32</v>
      </c>
      <c r="D18" s="6">
        <v>188.42910699999999</v>
      </c>
      <c r="E18" s="6">
        <v>18.899999999999999</v>
      </c>
      <c r="F18" s="6">
        <v>9.9697940000000003</v>
      </c>
      <c r="G18" s="5" t="s">
        <v>14</v>
      </c>
      <c r="H18" s="5" t="s">
        <v>15</v>
      </c>
      <c r="I18" s="5" t="s">
        <v>16</v>
      </c>
      <c r="J18" s="5" t="s">
        <v>17</v>
      </c>
      <c r="K18" s="4" t="s">
        <v>58</v>
      </c>
    </row>
    <row r="19" spans="1:11" ht="16">
      <c r="A19" s="4" t="s">
        <v>47</v>
      </c>
      <c r="B19" s="4" t="s">
        <v>60</v>
      </c>
      <c r="C19" s="5" t="s">
        <v>61</v>
      </c>
      <c r="D19" s="6">
        <v>109.824</v>
      </c>
      <c r="E19" s="6">
        <v>80</v>
      </c>
      <c r="F19" s="6">
        <v>1.3728</v>
      </c>
      <c r="G19" s="5" t="s">
        <v>14</v>
      </c>
      <c r="H19" s="5" t="s">
        <v>15</v>
      </c>
      <c r="I19" s="5" t="s">
        <v>16</v>
      </c>
      <c r="J19" s="5" t="s">
        <v>17</v>
      </c>
      <c r="K19" s="4"/>
    </row>
    <row r="20" spans="1:11" ht="16">
      <c r="A20" s="4" t="s">
        <v>47</v>
      </c>
      <c r="B20" s="4" t="s">
        <v>62</v>
      </c>
      <c r="C20" s="5" t="s">
        <v>27</v>
      </c>
      <c r="D20" s="6">
        <v>109.824</v>
      </c>
      <c r="E20" s="6">
        <v>80</v>
      </c>
      <c r="F20" s="6">
        <v>1.3728</v>
      </c>
      <c r="G20" s="5" t="s">
        <v>14</v>
      </c>
      <c r="H20" s="5" t="s">
        <v>15</v>
      </c>
      <c r="I20" s="5" t="s">
        <v>16</v>
      </c>
      <c r="J20" s="5" t="s">
        <v>17</v>
      </c>
      <c r="K20" s="4"/>
    </row>
    <row r="21" spans="1:11" ht="16">
      <c r="A21" s="4" t="s">
        <v>63</v>
      </c>
      <c r="B21" s="4" t="s">
        <v>64</v>
      </c>
      <c r="C21" s="5" t="s">
        <v>65</v>
      </c>
      <c r="D21" s="6">
        <v>458.75200000000001</v>
      </c>
      <c r="E21" s="6">
        <v>15.49</v>
      </c>
      <c r="F21" s="6">
        <v>29.616009999999999</v>
      </c>
      <c r="G21" s="5" t="s">
        <v>14</v>
      </c>
      <c r="H21" s="5" t="s">
        <v>15</v>
      </c>
      <c r="I21" s="5" t="s">
        <v>16</v>
      </c>
      <c r="J21" s="5" t="s">
        <v>17</v>
      </c>
      <c r="K21" s="4" t="s">
        <v>50</v>
      </c>
    </row>
    <row r="22" spans="1:11" ht="16">
      <c r="A22" s="4" t="s">
        <v>63</v>
      </c>
      <c r="B22" s="4" t="s">
        <v>66</v>
      </c>
      <c r="C22" s="5" t="s">
        <v>56</v>
      </c>
      <c r="D22" s="6">
        <v>376.85821399999998</v>
      </c>
      <c r="E22" s="6">
        <v>53.38</v>
      </c>
      <c r="F22" s="6">
        <v>7.059914</v>
      </c>
      <c r="G22" s="5" t="s">
        <v>14</v>
      </c>
      <c r="H22" s="5" t="s">
        <v>15</v>
      </c>
      <c r="I22" s="5" t="s">
        <v>16</v>
      </c>
      <c r="J22" s="5" t="s">
        <v>17</v>
      </c>
      <c r="K22" s="4" t="s">
        <v>67</v>
      </c>
    </row>
    <row r="23" spans="1:11" ht="16">
      <c r="A23" s="4" t="s">
        <v>63</v>
      </c>
      <c r="B23" s="4" t="s">
        <v>68</v>
      </c>
      <c r="C23" s="5" t="s">
        <v>56</v>
      </c>
      <c r="D23" s="6">
        <v>344.03778599999998</v>
      </c>
      <c r="E23" s="6">
        <v>16.940000000000001</v>
      </c>
      <c r="F23" s="6">
        <v>20.309196</v>
      </c>
      <c r="G23" s="5" t="s">
        <v>14</v>
      </c>
      <c r="H23" s="5" t="s">
        <v>15</v>
      </c>
      <c r="I23" s="5" t="s">
        <v>16</v>
      </c>
      <c r="J23" s="5" t="s">
        <v>17</v>
      </c>
      <c r="K23" s="4" t="s">
        <v>67</v>
      </c>
    </row>
    <row r="24" spans="1:11" ht="16">
      <c r="A24" s="4" t="s">
        <v>63</v>
      </c>
      <c r="B24" s="4" t="s">
        <v>69</v>
      </c>
      <c r="C24" s="5" t="s">
        <v>70</v>
      </c>
      <c r="D24" s="6">
        <v>393.21600000000001</v>
      </c>
      <c r="E24" s="6">
        <v>22.07</v>
      </c>
      <c r="F24" s="6">
        <v>17.816765</v>
      </c>
      <c r="G24" s="5" t="s">
        <v>14</v>
      </c>
      <c r="H24" s="5" t="s">
        <v>15</v>
      </c>
      <c r="I24" s="5" t="s">
        <v>16</v>
      </c>
      <c r="J24" s="5" t="s">
        <v>17</v>
      </c>
      <c r="K24" s="4" t="s">
        <v>67</v>
      </c>
    </row>
    <row r="25" spans="1:11" ht="16">
      <c r="A25" s="4" t="s">
        <v>63</v>
      </c>
      <c r="B25" s="4" t="s">
        <v>71</v>
      </c>
      <c r="C25" s="5" t="s">
        <v>27</v>
      </c>
      <c r="D25" s="6">
        <v>245.786214</v>
      </c>
      <c r="E25" s="6">
        <v>4.84</v>
      </c>
      <c r="F25" s="6">
        <v>50.782276000000003</v>
      </c>
      <c r="G25" s="5" t="s">
        <v>14</v>
      </c>
      <c r="H25" s="5" t="s">
        <v>15</v>
      </c>
      <c r="I25" s="5" t="s">
        <v>16</v>
      </c>
      <c r="J25" s="5" t="s">
        <v>17</v>
      </c>
      <c r="K25" s="4" t="s">
        <v>72</v>
      </c>
    </row>
    <row r="26" spans="1:11" ht="16">
      <c r="A26" s="4" t="s">
        <v>63</v>
      </c>
      <c r="B26" s="4" t="s">
        <v>73</v>
      </c>
      <c r="C26" s="5" t="s">
        <v>27</v>
      </c>
      <c r="D26" s="6">
        <v>983.04</v>
      </c>
      <c r="E26" s="6">
        <v>62</v>
      </c>
      <c r="F26" s="6">
        <v>15.855484000000001</v>
      </c>
      <c r="G26" s="5" t="s">
        <v>14</v>
      </c>
      <c r="H26" s="5" t="s">
        <v>15</v>
      </c>
      <c r="I26" s="5" t="s">
        <v>16</v>
      </c>
      <c r="J26" s="5" t="s">
        <v>17</v>
      </c>
      <c r="K26" s="4" t="s">
        <v>74</v>
      </c>
    </row>
    <row r="27" spans="1:11" ht="16">
      <c r="A27" s="4" t="s">
        <v>75</v>
      </c>
      <c r="B27" s="4" t="s">
        <v>76</v>
      </c>
      <c r="C27" s="5" t="s">
        <v>32</v>
      </c>
      <c r="D27" s="6">
        <v>70.254592000000002</v>
      </c>
      <c r="E27" s="6">
        <v>72.790000000000006</v>
      </c>
      <c r="F27" s="6">
        <v>0.96516800000000003</v>
      </c>
      <c r="G27" s="5" t="s">
        <v>22</v>
      </c>
      <c r="H27" s="5" t="s">
        <v>15</v>
      </c>
      <c r="I27" s="5" t="s">
        <v>16</v>
      </c>
      <c r="J27" s="5" t="s">
        <v>17</v>
      </c>
      <c r="K27" s="4" t="s">
        <v>23</v>
      </c>
    </row>
    <row r="28" spans="1:11" ht="16">
      <c r="A28" s="4" t="s">
        <v>75</v>
      </c>
      <c r="B28" s="4" t="s">
        <v>77</v>
      </c>
      <c r="C28" s="5" t="s">
        <v>78</v>
      </c>
      <c r="D28" s="6">
        <v>70.254592000000002</v>
      </c>
      <c r="E28" s="6">
        <v>64</v>
      </c>
      <c r="F28" s="6">
        <v>1.097728</v>
      </c>
      <c r="G28" s="5" t="s">
        <v>22</v>
      </c>
      <c r="H28" s="5" t="s">
        <v>15</v>
      </c>
      <c r="I28" s="5" t="s">
        <v>16</v>
      </c>
      <c r="J28" s="5" t="s">
        <v>17</v>
      </c>
      <c r="K28" s="4" t="s">
        <v>23</v>
      </c>
    </row>
    <row r="29" spans="1:11" ht="16">
      <c r="A29" s="4" t="s">
        <v>79</v>
      </c>
      <c r="B29" s="4" t="s">
        <v>80</v>
      </c>
      <c r="C29" s="5" t="s">
        <v>81</v>
      </c>
      <c r="D29" s="6">
        <v>819.14757099999997</v>
      </c>
      <c r="E29" s="6">
        <v>26.19</v>
      </c>
      <c r="F29" s="6">
        <v>31.277111999999999</v>
      </c>
      <c r="G29" s="5" t="s">
        <v>14</v>
      </c>
      <c r="H29" s="5" t="s">
        <v>15</v>
      </c>
      <c r="I29" s="5" t="s">
        <v>16</v>
      </c>
      <c r="J29" s="5" t="s">
        <v>17</v>
      </c>
      <c r="K29" s="4" t="s">
        <v>50</v>
      </c>
    </row>
    <row r="30" spans="1:11" ht="16">
      <c r="A30" s="4" t="s">
        <v>79</v>
      </c>
      <c r="B30" s="4" t="s">
        <v>82</v>
      </c>
      <c r="C30" s="5" t="s">
        <v>81</v>
      </c>
      <c r="D30" s="6">
        <v>2621.44</v>
      </c>
      <c r="E30" s="6">
        <v>132.13999999999999</v>
      </c>
      <c r="F30" s="6">
        <v>19.838353000000001</v>
      </c>
      <c r="G30" s="5" t="s">
        <v>14</v>
      </c>
      <c r="H30" s="5" t="s">
        <v>15</v>
      </c>
      <c r="I30" s="5" t="s">
        <v>16</v>
      </c>
      <c r="J30" s="5" t="s">
        <v>17</v>
      </c>
      <c r="K30" s="4" t="s">
        <v>50</v>
      </c>
    </row>
    <row r="31" spans="1:11" ht="16">
      <c r="A31" s="4" t="s">
        <v>79</v>
      </c>
      <c r="B31" s="4" t="s">
        <v>83</v>
      </c>
      <c r="C31" s="5" t="s">
        <v>81</v>
      </c>
      <c r="D31" s="6">
        <v>524.28800000000001</v>
      </c>
      <c r="E31" s="6">
        <v>13.48</v>
      </c>
      <c r="F31" s="6">
        <v>38.893768999999999</v>
      </c>
      <c r="G31" s="5" t="s">
        <v>14</v>
      </c>
      <c r="H31" s="5" t="s">
        <v>15</v>
      </c>
      <c r="I31" s="5" t="s">
        <v>16</v>
      </c>
      <c r="J31" s="5" t="s">
        <v>17</v>
      </c>
      <c r="K31" s="4" t="s">
        <v>50</v>
      </c>
    </row>
    <row r="32" spans="1:11" ht="16">
      <c r="A32" s="4" t="s">
        <v>79</v>
      </c>
      <c r="B32" s="4" t="s">
        <v>84</v>
      </c>
      <c r="C32" s="5" t="s">
        <v>85</v>
      </c>
      <c r="D32" s="6">
        <v>819.14757099999997</v>
      </c>
      <c r="E32" s="6">
        <v>26.19</v>
      </c>
      <c r="F32" s="6">
        <v>31.277111999999999</v>
      </c>
      <c r="G32" s="5" t="s">
        <v>14</v>
      </c>
      <c r="H32" s="5" t="s">
        <v>15</v>
      </c>
      <c r="I32" s="5" t="s">
        <v>16</v>
      </c>
      <c r="J32" s="5" t="s">
        <v>17</v>
      </c>
      <c r="K32" s="4" t="s">
        <v>50</v>
      </c>
    </row>
    <row r="33" spans="1:11" ht="16">
      <c r="A33" s="4" t="s">
        <v>79</v>
      </c>
      <c r="B33" s="4" t="s">
        <v>86</v>
      </c>
      <c r="C33" s="5" t="s">
        <v>85</v>
      </c>
      <c r="D33" s="6">
        <v>327.68</v>
      </c>
      <c r="E33" s="6">
        <v>139.52000000000001</v>
      </c>
      <c r="F33" s="6">
        <v>2.348624</v>
      </c>
      <c r="G33" s="5" t="s">
        <v>14</v>
      </c>
      <c r="H33" s="5" t="s">
        <v>15</v>
      </c>
      <c r="I33" s="5" t="s">
        <v>16</v>
      </c>
      <c r="J33" s="5" t="s">
        <v>17</v>
      </c>
      <c r="K33" s="4" t="s">
        <v>87</v>
      </c>
    </row>
    <row r="34" spans="1:11" ht="16">
      <c r="A34" s="4" t="s">
        <v>79</v>
      </c>
      <c r="B34" s="4" t="s">
        <v>88</v>
      </c>
      <c r="C34" s="5" t="s">
        <v>85</v>
      </c>
      <c r="D34" s="6">
        <v>524.28800000000001</v>
      </c>
      <c r="E34" s="6">
        <v>13.48</v>
      </c>
      <c r="F34" s="6">
        <v>38.893768999999999</v>
      </c>
      <c r="G34" s="5" t="s">
        <v>14</v>
      </c>
      <c r="H34" s="5" t="s">
        <v>15</v>
      </c>
      <c r="I34" s="5" t="s">
        <v>16</v>
      </c>
      <c r="J34" s="5" t="s">
        <v>17</v>
      </c>
      <c r="K34" s="4" t="s">
        <v>50</v>
      </c>
    </row>
    <row r="35" spans="1:11" ht="16">
      <c r="A35" s="4" t="s">
        <v>79</v>
      </c>
      <c r="B35" s="4" t="s">
        <v>89</v>
      </c>
      <c r="C35" s="5" t="s">
        <v>90</v>
      </c>
      <c r="D35" s="6">
        <v>327.68</v>
      </c>
      <c r="E35" s="6">
        <v>139.52000000000001</v>
      </c>
      <c r="F35" s="6">
        <v>2.348624</v>
      </c>
      <c r="G35" s="5" t="s">
        <v>14</v>
      </c>
      <c r="H35" s="5" t="s">
        <v>15</v>
      </c>
      <c r="I35" s="5" t="s">
        <v>16</v>
      </c>
      <c r="J35" s="5" t="s">
        <v>17</v>
      </c>
      <c r="K35" s="4" t="s">
        <v>87</v>
      </c>
    </row>
    <row r="36" spans="1:11" ht="16">
      <c r="A36" s="4" t="s">
        <v>79</v>
      </c>
      <c r="B36" s="4" t="s">
        <v>91</v>
      </c>
      <c r="C36" s="5" t="s">
        <v>90</v>
      </c>
      <c r="D36" s="6">
        <v>131.072</v>
      </c>
      <c r="E36" s="6">
        <v>14.48</v>
      </c>
      <c r="F36" s="6">
        <v>9.0519339999999993</v>
      </c>
      <c r="G36" s="5" t="s">
        <v>14</v>
      </c>
      <c r="H36" s="5" t="s">
        <v>15</v>
      </c>
      <c r="I36" s="5" t="s">
        <v>16</v>
      </c>
      <c r="J36" s="5" t="s">
        <v>17</v>
      </c>
      <c r="K36" s="4" t="s">
        <v>87</v>
      </c>
    </row>
    <row r="37" spans="1:11" ht="16">
      <c r="A37" s="4" t="s">
        <v>79</v>
      </c>
      <c r="B37" s="4" t="s">
        <v>92</v>
      </c>
      <c r="C37" s="5" t="s">
        <v>93</v>
      </c>
      <c r="D37" s="6">
        <v>516.10910699999999</v>
      </c>
      <c r="E37" s="6">
        <v>811.55</v>
      </c>
      <c r="F37" s="6">
        <v>0.63595500000000005</v>
      </c>
      <c r="G37" s="5" t="s">
        <v>22</v>
      </c>
      <c r="H37" s="5" t="s">
        <v>15</v>
      </c>
      <c r="I37" s="5" t="s">
        <v>16</v>
      </c>
      <c r="J37" s="5" t="s">
        <v>17</v>
      </c>
      <c r="K37" s="4" t="s">
        <v>87</v>
      </c>
    </row>
    <row r="38" spans="1:11" ht="16">
      <c r="A38" s="4" t="s">
        <v>79</v>
      </c>
      <c r="B38" s="4" t="s">
        <v>94</v>
      </c>
      <c r="C38" s="5" t="s">
        <v>95</v>
      </c>
      <c r="D38" s="6">
        <v>196.608</v>
      </c>
      <c r="E38" s="6">
        <v>19.100000000000001</v>
      </c>
      <c r="F38" s="6">
        <v>10.293613000000001</v>
      </c>
      <c r="G38" s="5" t="s">
        <v>14</v>
      </c>
      <c r="H38" s="5" t="s">
        <v>15</v>
      </c>
      <c r="I38" s="5" t="s">
        <v>16</v>
      </c>
      <c r="J38" s="5" t="s">
        <v>17</v>
      </c>
      <c r="K38" s="4" t="s">
        <v>96</v>
      </c>
    </row>
    <row r="39" spans="1:11" ht="16">
      <c r="A39" s="4" t="s">
        <v>79</v>
      </c>
      <c r="B39" s="4" t="s">
        <v>97</v>
      </c>
      <c r="C39" s="5" t="s">
        <v>95</v>
      </c>
      <c r="D39" s="6">
        <v>196.608</v>
      </c>
      <c r="E39" s="6">
        <v>19.100000000000001</v>
      </c>
      <c r="F39" s="6">
        <v>10.293613000000001</v>
      </c>
      <c r="G39" s="5" t="s">
        <v>14</v>
      </c>
      <c r="H39" s="5" t="s">
        <v>15</v>
      </c>
      <c r="I39" s="5" t="s">
        <v>16</v>
      </c>
      <c r="J39" s="5" t="s">
        <v>17</v>
      </c>
      <c r="K39" s="4" t="s">
        <v>96</v>
      </c>
    </row>
    <row r="40" spans="1:11" ht="16">
      <c r="A40" s="4" t="s">
        <v>98</v>
      </c>
      <c r="B40" s="4" t="s">
        <v>99</v>
      </c>
      <c r="C40" s="5" t="s">
        <v>100</v>
      </c>
      <c r="D40" s="6">
        <v>253.96510699999999</v>
      </c>
      <c r="E40" s="6">
        <v>17.920000000000002</v>
      </c>
      <c r="F40" s="6">
        <v>14.17216</v>
      </c>
      <c r="G40" s="5" t="s">
        <v>14</v>
      </c>
      <c r="H40" s="5" t="s">
        <v>15</v>
      </c>
      <c r="I40" s="5" t="s">
        <v>16</v>
      </c>
      <c r="J40" s="5" t="s">
        <v>17</v>
      </c>
      <c r="K40" s="4" t="s">
        <v>101</v>
      </c>
    </row>
    <row r="41" spans="1:11" ht="16">
      <c r="A41" s="4" t="s">
        <v>98</v>
      </c>
      <c r="B41" s="4" t="s">
        <v>102</v>
      </c>
      <c r="C41" s="5" t="s">
        <v>61</v>
      </c>
      <c r="D41" s="6">
        <v>253.96510699999999</v>
      </c>
      <c r="E41" s="6">
        <v>17.920000000000002</v>
      </c>
      <c r="F41" s="6">
        <v>14.17216</v>
      </c>
      <c r="G41" s="5" t="s">
        <v>14</v>
      </c>
      <c r="H41" s="5" t="s">
        <v>15</v>
      </c>
      <c r="I41" s="5" t="s">
        <v>16</v>
      </c>
      <c r="J41" s="5" t="s">
        <v>17</v>
      </c>
      <c r="K41" s="4" t="s">
        <v>101</v>
      </c>
    </row>
    <row r="42" spans="1:11" ht="16">
      <c r="A42" s="4" t="s">
        <v>103</v>
      </c>
      <c r="B42" s="4" t="s">
        <v>104</v>
      </c>
      <c r="C42" s="5" t="s">
        <v>105</v>
      </c>
      <c r="D42" s="6">
        <v>131.072</v>
      </c>
      <c r="E42" s="6">
        <v>14.48</v>
      </c>
      <c r="F42" s="6">
        <v>9.0519339999999993</v>
      </c>
      <c r="G42" s="5" t="s">
        <v>14</v>
      </c>
      <c r="H42" s="5" t="s">
        <v>15</v>
      </c>
      <c r="I42" s="5" t="s">
        <v>16</v>
      </c>
      <c r="J42" s="5" t="s">
        <v>17</v>
      </c>
      <c r="K42" s="4" t="s">
        <v>106</v>
      </c>
    </row>
    <row r="43" spans="1:11" ht="16">
      <c r="A43" s="4" t="s">
        <v>103</v>
      </c>
      <c r="B43" s="4" t="s">
        <v>107</v>
      </c>
      <c r="C43" s="5" t="s">
        <v>108</v>
      </c>
      <c r="D43" s="6">
        <v>131.072</v>
      </c>
      <c r="E43" s="6">
        <v>25.76</v>
      </c>
      <c r="F43" s="6">
        <v>5.0881990000000004</v>
      </c>
      <c r="G43" s="5" t="s">
        <v>14</v>
      </c>
      <c r="H43" s="5" t="s">
        <v>15</v>
      </c>
      <c r="I43" s="5" t="s">
        <v>16</v>
      </c>
      <c r="J43" s="5" t="s">
        <v>17</v>
      </c>
      <c r="K43" s="4" t="s">
        <v>109</v>
      </c>
    </row>
    <row r="44" spans="1:11" ht="16">
      <c r="A44" s="4" t="s">
        <v>103</v>
      </c>
      <c r="B44" s="4" t="s">
        <v>110</v>
      </c>
      <c r="C44" s="5" t="s">
        <v>90</v>
      </c>
      <c r="D44" s="6">
        <v>229.42842899999999</v>
      </c>
      <c r="E44" s="6">
        <v>78.89</v>
      </c>
      <c r="F44" s="6">
        <v>2.908207</v>
      </c>
      <c r="G44" s="5" t="s">
        <v>14</v>
      </c>
      <c r="H44" s="5" t="s">
        <v>15</v>
      </c>
      <c r="I44" s="5" t="s">
        <v>16</v>
      </c>
      <c r="J44" s="5" t="s">
        <v>17</v>
      </c>
      <c r="K44" s="4" t="s">
        <v>109</v>
      </c>
    </row>
    <row r="45" spans="1:11" ht="16">
      <c r="A45" s="4" t="s">
        <v>103</v>
      </c>
      <c r="B45" s="4" t="s">
        <v>111</v>
      </c>
      <c r="C45" s="5" t="s">
        <v>93</v>
      </c>
      <c r="D45" s="6">
        <v>204.78689299999999</v>
      </c>
      <c r="E45" s="6">
        <v>23.68</v>
      </c>
      <c r="F45" s="6">
        <v>8.6480949999999996</v>
      </c>
      <c r="G45" s="5" t="s">
        <v>14</v>
      </c>
      <c r="H45" s="5" t="s">
        <v>15</v>
      </c>
      <c r="I45" s="5" t="s">
        <v>16</v>
      </c>
      <c r="J45" s="5" t="s">
        <v>17</v>
      </c>
      <c r="K45" s="4" t="s">
        <v>87</v>
      </c>
    </row>
    <row r="46" spans="1:11" ht="16">
      <c r="A46" s="4" t="s">
        <v>103</v>
      </c>
      <c r="B46" s="4" t="s">
        <v>112</v>
      </c>
      <c r="C46" s="5" t="s">
        <v>25</v>
      </c>
      <c r="D46" s="6">
        <v>204.78689299999999</v>
      </c>
      <c r="E46" s="6">
        <v>46.33</v>
      </c>
      <c r="F46" s="6">
        <v>4.4201790000000001</v>
      </c>
      <c r="G46" s="5" t="s">
        <v>14</v>
      </c>
      <c r="H46" s="5" t="s">
        <v>15</v>
      </c>
      <c r="I46" s="5" t="s">
        <v>16</v>
      </c>
      <c r="J46" s="5" t="s">
        <v>17</v>
      </c>
      <c r="K46" s="4" t="s">
        <v>87</v>
      </c>
    </row>
    <row r="47" spans="1:11" ht="16">
      <c r="A47" s="4" t="s">
        <v>113</v>
      </c>
      <c r="B47" s="4" t="s">
        <v>114</v>
      </c>
      <c r="C47" s="5" t="s">
        <v>90</v>
      </c>
      <c r="D47" s="6">
        <v>204.78689299999999</v>
      </c>
      <c r="E47" s="6">
        <v>28.08</v>
      </c>
      <c r="F47" s="6">
        <v>7.2929810000000002</v>
      </c>
      <c r="G47" s="5" t="s">
        <v>14</v>
      </c>
      <c r="H47" s="5" t="s">
        <v>15</v>
      </c>
      <c r="I47" s="5" t="s">
        <v>16</v>
      </c>
      <c r="J47" s="5" t="s">
        <v>17</v>
      </c>
      <c r="K47" s="4" t="s">
        <v>87</v>
      </c>
    </row>
    <row r="48" spans="1:11" ht="16">
      <c r="A48" s="4" t="s">
        <v>113</v>
      </c>
      <c r="B48" s="4" t="s">
        <v>115</v>
      </c>
      <c r="C48" s="5" t="s">
        <v>90</v>
      </c>
      <c r="D48" s="6">
        <v>393.21600000000001</v>
      </c>
      <c r="E48" s="6">
        <v>7.64</v>
      </c>
      <c r="F48" s="6">
        <v>51.468063000000001</v>
      </c>
      <c r="G48" s="5" t="s">
        <v>14</v>
      </c>
      <c r="H48" s="5" t="s">
        <v>15</v>
      </c>
      <c r="I48" s="5" t="s">
        <v>16</v>
      </c>
      <c r="J48" s="5" t="s">
        <v>17</v>
      </c>
      <c r="K48" s="4" t="s">
        <v>50</v>
      </c>
    </row>
    <row r="49" spans="1:11" ht="16">
      <c r="A49" s="4" t="s">
        <v>113</v>
      </c>
      <c r="B49" s="4" t="s">
        <v>116</v>
      </c>
      <c r="C49" s="5" t="s">
        <v>90</v>
      </c>
      <c r="D49" s="6">
        <v>131.072</v>
      </c>
      <c r="E49" s="6">
        <v>11.87</v>
      </c>
      <c r="F49" s="6">
        <v>11.042291000000001</v>
      </c>
      <c r="G49" s="5" t="s">
        <v>14</v>
      </c>
      <c r="H49" s="5" t="s">
        <v>15</v>
      </c>
      <c r="I49" s="5" t="s">
        <v>16</v>
      </c>
      <c r="J49" s="5" t="s">
        <v>17</v>
      </c>
      <c r="K49" s="4" t="s">
        <v>87</v>
      </c>
    </row>
    <row r="50" spans="1:11" ht="16">
      <c r="A50" s="4" t="s">
        <v>113</v>
      </c>
      <c r="B50" s="4" t="s">
        <v>117</v>
      </c>
      <c r="C50" s="5" t="s">
        <v>21</v>
      </c>
      <c r="D50" s="6">
        <v>204.78689299999999</v>
      </c>
      <c r="E50" s="6">
        <v>28.08</v>
      </c>
      <c r="F50" s="6">
        <v>7.2929810000000002</v>
      </c>
      <c r="G50" s="5" t="s">
        <v>14</v>
      </c>
      <c r="H50" s="5" t="s">
        <v>15</v>
      </c>
      <c r="I50" s="5" t="s">
        <v>16</v>
      </c>
      <c r="J50" s="5" t="s">
        <v>17</v>
      </c>
      <c r="K50" s="4" t="s">
        <v>87</v>
      </c>
    </row>
    <row r="51" spans="1:11" ht="16">
      <c r="A51" s="4" t="s">
        <v>118</v>
      </c>
      <c r="B51" s="4" t="s">
        <v>119</v>
      </c>
      <c r="C51" s="5" t="s">
        <v>120</v>
      </c>
      <c r="D51" s="6">
        <v>524.28800000000001</v>
      </c>
      <c r="E51" s="6">
        <v>22.13</v>
      </c>
      <c r="F51" s="6">
        <v>23.691279000000002</v>
      </c>
      <c r="G51" s="5" t="s">
        <v>14</v>
      </c>
      <c r="H51" s="5" t="s">
        <v>15</v>
      </c>
      <c r="I51" s="5" t="s">
        <v>16</v>
      </c>
      <c r="J51" s="5" t="s">
        <v>17</v>
      </c>
      <c r="K51" s="4" t="s">
        <v>50</v>
      </c>
    </row>
    <row r="52" spans="1:11" ht="16">
      <c r="A52" s="4" t="s">
        <v>118</v>
      </c>
      <c r="B52" s="4" t="s">
        <v>121</v>
      </c>
      <c r="C52" s="5" t="s">
        <v>105</v>
      </c>
      <c r="D52" s="6">
        <v>819.14757099999997</v>
      </c>
      <c r="E52" s="6">
        <v>42.87</v>
      </c>
      <c r="F52" s="6">
        <v>19.107710999999998</v>
      </c>
      <c r="G52" s="5" t="s">
        <v>14</v>
      </c>
      <c r="H52" s="5" t="s">
        <v>15</v>
      </c>
      <c r="I52" s="5" t="s">
        <v>16</v>
      </c>
      <c r="J52" s="5" t="s">
        <v>17</v>
      </c>
      <c r="K52" s="4" t="s">
        <v>50</v>
      </c>
    </row>
    <row r="53" spans="1:11" ht="16">
      <c r="A53" s="4" t="s">
        <v>118</v>
      </c>
      <c r="B53" s="4" t="s">
        <v>122</v>
      </c>
      <c r="C53" s="5" t="s">
        <v>56</v>
      </c>
      <c r="D53" s="6">
        <v>57.357106999999999</v>
      </c>
      <c r="E53" s="6">
        <v>14.38</v>
      </c>
      <c r="F53" s="6">
        <v>3.9886720000000002</v>
      </c>
      <c r="G53" s="5" t="s">
        <v>14</v>
      </c>
      <c r="H53" s="5" t="s">
        <v>15</v>
      </c>
      <c r="I53" s="5" t="s">
        <v>16</v>
      </c>
      <c r="J53" s="5" t="s">
        <v>17</v>
      </c>
      <c r="K53" s="4" t="s">
        <v>123</v>
      </c>
    </row>
    <row r="54" spans="1:11" ht="16">
      <c r="A54" s="4" t="s">
        <v>118</v>
      </c>
      <c r="B54" s="4" t="s">
        <v>124</v>
      </c>
      <c r="C54" s="5" t="s">
        <v>56</v>
      </c>
      <c r="D54" s="6">
        <v>57.357106999999999</v>
      </c>
      <c r="E54" s="6">
        <v>13.45</v>
      </c>
      <c r="F54" s="6">
        <v>4.2644690000000001</v>
      </c>
      <c r="G54" s="5" t="s">
        <v>14</v>
      </c>
      <c r="H54" s="5" t="s">
        <v>15</v>
      </c>
      <c r="I54" s="5" t="s">
        <v>16</v>
      </c>
      <c r="J54" s="5" t="s">
        <v>17</v>
      </c>
      <c r="K54" s="4" t="s">
        <v>87</v>
      </c>
    </row>
    <row r="55" spans="1:11" ht="16">
      <c r="A55" s="4" t="s">
        <v>118</v>
      </c>
      <c r="B55" s="4" t="s">
        <v>125</v>
      </c>
      <c r="C55" s="5" t="s">
        <v>126</v>
      </c>
      <c r="D55" s="6">
        <v>196.608</v>
      </c>
      <c r="E55" s="6">
        <v>27.41</v>
      </c>
      <c r="F55" s="6">
        <v>7.1728569999999996</v>
      </c>
      <c r="G55" s="5" t="s">
        <v>14</v>
      </c>
      <c r="H55" s="5" t="s">
        <v>15</v>
      </c>
      <c r="I55" s="5" t="s">
        <v>16</v>
      </c>
      <c r="J55" s="5" t="s">
        <v>17</v>
      </c>
      <c r="K55" s="4" t="s">
        <v>87</v>
      </c>
    </row>
    <row r="56" spans="1:11" ht="16">
      <c r="A56" s="4" t="s">
        <v>118</v>
      </c>
      <c r="B56" s="4" t="s">
        <v>127</v>
      </c>
      <c r="C56" s="5" t="s">
        <v>126</v>
      </c>
      <c r="D56" s="6">
        <v>327.68</v>
      </c>
      <c r="E56" s="6">
        <v>143.05000000000001</v>
      </c>
      <c r="F56" s="6">
        <v>2.2906680000000001</v>
      </c>
      <c r="G56" s="5" t="s">
        <v>14</v>
      </c>
      <c r="H56" s="5" t="s">
        <v>15</v>
      </c>
      <c r="I56" s="5" t="s">
        <v>16</v>
      </c>
      <c r="J56" s="5" t="s">
        <v>17</v>
      </c>
      <c r="K56" s="4" t="s">
        <v>87</v>
      </c>
    </row>
    <row r="57" spans="1:11" ht="16">
      <c r="A57" s="4" t="s">
        <v>118</v>
      </c>
      <c r="B57" s="4" t="s">
        <v>128</v>
      </c>
      <c r="C57" s="5" t="s">
        <v>126</v>
      </c>
      <c r="D57" s="6">
        <v>57.357106999999999</v>
      </c>
      <c r="E57" s="6">
        <v>13.45</v>
      </c>
      <c r="F57" s="6">
        <v>4.2644690000000001</v>
      </c>
      <c r="G57" s="5" t="s">
        <v>14</v>
      </c>
      <c r="H57" s="5" t="s">
        <v>15</v>
      </c>
      <c r="I57" s="5" t="s">
        <v>16</v>
      </c>
      <c r="J57" s="5" t="s">
        <v>17</v>
      </c>
      <c r="K57" s="4" t="s">
        <v>87</v>
      </c>
    </row>
    <row r="58" spans="1:11" ht="16">
      <c r="A58" s="4" t="s">
        <v>118</v>
      </c>
      <c r="B58" s="4" t="s">
        <v>129</v>
      </c>
      <c r="C58" s="5" t="s">
        <v>95</v>
      </c>
      <c r="D58" s="6">
        <v>192.51855399999999</v>
      </c>
      <c r="E58" s="6">
        <v>37.020000000000003</v>
      </c>
      <c r="F58" s="6">
        <v>5.200393</v>
      </c>
      <c r="G58" s="5" t="s">
        <v>14</v>
      </c>
      <c r="H58" s="5" t="s">
        <v>15</v>
      </c>
      <c r="I58" s="5" t="s">
        <v>16</v>
      </c>
      <c r="J58" s="5" t="s">
        <v>17</v>
      </c>
      <c r="K58" s="4" t="s">
        <v>123</v>
      </c>
    </row>
    <row r="59" spans="1:11" ht="16">
      <c r="A59" s="4" t="s">
        <v>118</v>
      </c>
      <c r="B59" s="4" t="s">
        <v>130</v>
      </c>
      <c r="C59" s="5" t="s">
        <v>95</v>
      </c>
      <c r="D59" s="6">
        <v>163.78757100000001</v>
      </c>
      <c r="E59" s="6">
        <v>59.19</v>
      </c>
      <c r="F59" s="6">
        <v>2.7671489999999999</v>
      </c>
      <c r="G59" s="5" t="s">
        <v>14</v>
      </c>
      <c r="H59" s="5" t="s">
        <v>15</v>
      </c>
      <c r="I59" s="5" t="s">
        <v>16</v>
      </c>
      <c r="J59" s="5" t="s">
        <v>17</v>
      </c>
      <c r="K59" s="4" t="s">
        <v>87</v>
      </c>
    </row>
    <row r="60" spans="1:11" ht="16">
      <c r="A60" s="4" t="s">
        <v>118</v>
      </c>
      <c r="B60" s="4" t="s">
        <v>131</v>
      </c>
      <c r="C60" s="5" t="s">
        <v>95</v>
      </c>
      <c r="D60" s="6">
        <v>147.42978600000001</v>
      </c>
      <c r="E60" s="6">
        <v>14.48</v>
      </c>
      <c r="F60" s="6">
        <v>10.181615000000001</v>
      </c>
      <c r="G60" s="5" t="s">
        <v>14</v>
      </c>
      <c r="H60" s="5" t="s">
        <v>15</v>
      </c>
      <c r="I60" s="5" t="s">
        <v>16</v>
      </c>
      <c r="J60" s="5" t="s">
        <v>17</v>
      </c>
      <c r="K60" s="4" t="s">
        <v>87</v>
      </c>
    </row>
    <row r="61" spans="1:11" ht="16">
      <c r="A61" s="4" t="s">
        <v>118</v>
      </c>
      <c r="B61" s="4" t="s">
        <v>132</v>
      </c>
      <c r="C61" s="5" t="s">
        <v>32</v>
      </c>
      <c r="D61" s="6">
        <v>98.356429000000006</v>
      </c>
      <c r="E61" s="6">
        <v>5.0199999999999996</v>
      </c>
      <c r="F61" s="6">
        <v>19.592914</v>
      </c>
      <c r="G61" s="5" t="s">
        <v>14</v>
      </c>
      <c r="H61" s="5" t="s">
        <v>15</v>
      </c>
      <c r="I61" s="5" t="s">
        <v>16</v>
      </c>
      <c r="J61" s="5" t="s">
        <v>17</v>
      </c>
      <c r="K61" s="4" t="s">
        <v>123</v>
      </c>
    </row>
    <row r="62" spans="1:11" ht="16">
      <c r="A62" s="4" t="s">
        <v>118</v>
      </c>
      <c r="B62" s="4" t="s">
        <v>133</v>
      </c>
      <c r="C62" s="5" t="s">
        <v>134</v>
      </c>
      <c r="D62" s="6">
        <v>36.909875</v>
      </c>
      <c r="E62" s="6">
        <v>10.67</v>
      </c>
      <c r="F62" s="6">
        <v>3.4592200000000002</v>
      </c>
      <c r="G62" s="5" t="s">
        <v>14</v>
      </c>
      <c r="H62" s="5" t="s">
        <v>15</v>
      </c>
      <c r="I62" s="5" t="s">
        <v>16</v>
      </c>
      <c r="J62" s="5" t="s">
        <v>17</v>
      </c>
      <c r="K62" s="4" t="s">
        <v>58</v>
      </c>
    </row>
    <row r="63" spans="1:11" ht="16">
      <c r="A63" s="4" t="s">
        <v>118</v>
      </c>
      <c r="B63" s="4" t="s">
        <v>135</v>
      </c>
      <c r="C63" s="5" t="s">
        <v>134</v>
      </c>
      <c r="D63" s="6">
        <v>61.446553999999999</v>
      </c>
      <c r="E63" s="6">
        <v>21.87</v>
      </c>
      <c r="F63" s="6">
        <v>2.809628</v>
      </c>
      <c r="G63" s="5" t="s">
        <v>14</v>
      </c>
      <c r="H63" s="5" t="s">
        <v>15</v>
      </c>
      <c r="I63" s="5" t="s">
        <v>16</v>
      </c>
      <c r="J63" s="5" t="s">
        <v>17</v>
      </c>
      <c r="K63" s="4" t="s">
        <v>58</v>
      </c>
    </row>
    <row r="64" spans="1:11" ht="16">
      <c r="A64" s="4" t="s">
        <v>118</v>
      </c>
      <c r="B64" s="4" t="s">
        <v>136</v>
      </c>
      <c r="C64" s="5" t="s">
        <v>134</v>
      </c>
      <c r="D64" s="6">
        <v>131.072</v>
      </c>
      <c r="E64" s="6">
        <v>12.87</v>
      </c>
      <c r="F64" s="6">
        <v>10.184305</v>
      </c>
      <c r="G64" s="5" t="s">
        <v>14</v>
      </c>
      <c r="H64" s="5" t="s">
        <v>15</v>
      </c>
      <c r="I64" s="5" t="s">
        <v>16</v>
      </c>
      <c r="J64" s="5" t="s">
        <v>17</v>
      </c>
      <c r="K64" s="4" t="s">
        <v>87</v>
      </c>
    </row>
    <row r="65" spans="1:11" ht="16">
      <c r="A65" s="4" t="s">
        <v>137</v>
      </c>
      <c r="B65" s="4" t="s">
        <v>138</v>
      </c>
      <c r="C65" s="5" t="s">
        <v>139</v>
      </c>
      <c r="D65" s="6">
        <v>245.786214</v>
      </c>
      <c r="E65" s="6">
        <v>68.66</v>
      </c>
      <c r="F65" s="6">
        <v>3.579758</v>
      </c>
      <c r="G65" s="5" t="s">
        <v>14</v>
      </c>
      <c r="H65" s="5" t="s">
        <v>15</v>
      </c>
      <c r="I65" s="5" t="s">
        <v>16</v>
      </c>
      <c r="J65" s="5" t="s">
        <v>17</v>
      </c>
      <c r="K65" s="4" t="s">
        <v>87</v>
      </c>
    </row>
    <row r="66" spans="1:11" ht="16">
      <c r="A66" s="4" t="s">
        <v>137</v>
      </c>
      <c r="B66" s="4" t="s">
        <v>140</v>
      </c>
      <c r="C66" s="5" t="s">
        <v>139</v>
      </c>
      <c r="D66" s="6">
        <v>65.536000000000001</v>
      </c>
      <c r="E66" s="6">
        <v>11.6</v>
      </c>
      <c r="F66" s="6">
        <v>5.6496550000000001</v>
      </c>
      <c r="G66" s="5" t="s">
        <v>14</v>
      </c>
      <c r="H66" s="5" t="s">
        <v>15</v>
      </c>
      <c r="I66" s="5" t="s">
        <v>16</v>
      </c>
      <c r="J66" s="5" t="s">
        <v>17</v>
      </c>
      <c r="K66" s="4" t="s">
        <v>87</v>
      </c>
    </row>
  </sheetData>
  <conditionalFormatting sqref="G2:G66">
    <cfRule type="expression" dxfId="7" priority="1">
      <formula>ISNUMBER(SEARCH("✓",G2))</formula>
    </cfRule>
    <cfRule type="expression" dxfId="6" priority="2">
      <formula>ISNUMBER(SEARCH("✗",G2))</formula>
    </cfRule>
  </conditionalFormatting>
  <conditionalFormatting sqref="H2:H66">
    <cfRule type="expression" dxfId="5" priority="3">
      <formula>ISNUMBER(SEARCH("✓",H2))</formula>
    </cfRule>
    <cfRule type="expression" dxfId="4" priority="4">
      <formula>ISNUMBER(SEARCH("✗",H2))</formula>
    </cfRule>
  </conditionalFormatting>
  <conditionalFormatting sqref="I2:I66">
    <cfRule type="expression" dxfId="3" priority="5">
      <formula>ISNUMBER(SEARCH("✓",I2))</formula>
    </cfRule>
    <cfRule type="expression" dxfId="2" priority="6">
      <formula>ISNUMBER(SEARCH("✗",I2))</formula>
    </cfRule>
  </conditionalFormatting>
  <conditionalFormatting sqref="J2:J66">
    <cfRule type="expression" dxfId="1" priority="7">
      <formula>ISNUMBER(SEARCH("✓",J2))</formula>
    </cfRule>
    <cfRule type="expression" dxfId="0" priority="8">
      <formula>ISNUMBER(SEARCH("✗",J2))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/>
  </sheetViews>
  <sheetFormatPr baseColWidth="10" defaultColWidth="8.83203125" defaultRowHeight="15"/>
  <cols>
    <col min="1" max="1" width="82" customWidth="1"/>
    <col min="2" max="2" width="65" customWidth="1"/>
  </cols>
  <sheetData>
    <row r="1" spans="1:2" ht="16">
      <c r="A1" s="1" t="s">
        <v>141</v>
      </c>
      <c r="B1" s="1" t="s">
        <v>142</v>
      </c>
    </row>
    <row r="2" spans="1:2" ht="16">
      <c r="A2" s="3" t="s">
        <v>143</v>
      </c>
      <c r="B2" s="7">
        <v>5</v>
      </c>
    </row>
    <row r="3" spans="1:2" ht="16">
      <c r="A3" s="3" t="s">
        <v>144</v>
      </c>
      <c r="B3" s="7">
        <v>7000</v>
      </c>
    </row>
    <row r="4" spans="1:2" ht="16">
      <c r="A4" s="3" t="s">
        <v>145</v>
      </c>
      <c r="B4" s="7">
        <v>1.9841269841269841E-7</v>
      </c>
    </row>
    <row r="5" spans="1:2" ht="16">
      <c r="A5" s="3" t="s">
        <v>146</v>
      </c>
      <c r="B5" s="7">
        <v>1000</v>
      </c>
    </row>
    <row r="6" spans="1:2" ht="16">
      <c r="A6" s="3" t="s">
        <v>147</v>
      </c>
      <c r="B6" s="7" t="s">
        <v>148</v>
      </c>
    </row>
    <row r="7" spans="1:2" ht="16">
      <c r="A7" s="3" t="s">
        <v>149</v>
      </c>
      <c r="B7" s="7" t="s">
        <v>150</v>
      </c>
    </row>
    <row r="8" spans="1:2" ht="16">
      <c r="A8" s="3" t="s">
        <v>151</v>
      </c>
      <c r="B8" s="7" t="s">
        <v>152</v>
      </c>
    </row>
    <row r="9" spans="1:2" ht="32">
      <c r="A9" s="3" t="s">
        <v>153</v>
      </c>
      <c r="B9" s="7" t="s">
        <v>154</v>
      </c>
    </row>
    <row r="10" spans="1:2" ht="16">
      <c r="A10" s="3" t="s">
        <v>155</v>
      </c>
      <c r="B10" s="7">
        <v>0.15</v>
      </c>
    </row>
    <row r="11" spans="1:2" ht="16">
      <c r="A11" s="3" t="s">
        <v>156</v>
      </c>
      <c r="B11" s="7">
        <v>1.4999999999999999E-7</v>
      </c>
    </row>
    <row r="12" spans="1:2" ht="16">
      <c r="A12" s="3" t="s">
        <v>157</v>
      </c>
      <c r="B12" s="7" t="s">
        <v>158</v>
      </c>
    </row>
    <row r="13" spans="1:2" ht="16">
      <c r="A13" s="3" t="s">
        <v>159</v>
      </c>
      <c r="B13" s="7">
        <v>1.3227513227513228</v>
      </c>
    </row>
    <row r="14" spans="1:2" ht="16">
      <c r="A14" s="3" t="s">
        <v>160</v>
      </c>
      <c r="B14" s="7">
        <v>5.5114638447971785E-2</v>
      </c>
    </row>
    <row r="15" spans="1:2" ht="16">
      <c r="A15" s="3" t="s">
        <v>161</v>
      </c>
      <c r="B15" s="7">
        <v>1.8371546149323929E-3</v>
      </c>
    </row>
    <row r="16" spans="1:2" ht="16">
      <c r="A16" s="3" t="s">
        <v>162</v>
      </c>
      <c r="B16" s="7">
        <v>1.5309621791103275E-4</v>
      </c>
    </row>
    <row r="17" spans="1:2" ht="16">
      <c r="A17" s="3" t="s">
        <v>163</v>
      </c>
      <c r="B17" s="7" t="s">
        <v>164</v>
      </c>
    </row>
    <row r="18" spans="1:2" ht="16">
      <c r="A18" s="3" t="s">
        <v>165</v>
      </c>
      <c r="B18" s="7">
        <v>76</v>
      </c>
    </row>
    <row r="19" spans="1:2" ht="16">
      <c r="A19" s="3" t="s">
        <v>166</v>
      </c>
      <c r="B19" s="7">
        <v>2.9320987654320989E-5</v>
      </c>
    </row>
    <row r="20" spans="1:2" ht="16">
      <c r="A20" s="3" t="s">
        <v>167</v>
      </c>
      <c r="B20" s="7">
        <v>0.08</v>
      </c>
    </row>
    <row r="21" spans="1:2" ht="16">
      <c r="A21" s="3" t="s">
        <v>168</v>
      </c>
      <c r="B21" s="7">
        <v>2.3456790123456792E-6</v>
      </c>
    </row>
    <row r="22" spans="1:2" ht="16">
      <c r="A22" s="3" t="s">
        <v>169</v>
      </c>
      <c r="B22" s="7" t="s">
        <v>170</v>
      </c>
    </row>
    <row r="23" spans="1:2" ht="16">
      <c r="A23" s="3" t="s">
        <v>171</v>
      </c>
      <c r="B23" s="7">
        <v>8.4586466165413529E-2</v>
      </c>
    </row>
    <row r="24" spans="1:2" ht="16">
      <c r="A24" s="3" t="s">
        <v>172</v>
      </c>
      <c r="B24" s="3" t="s">
        <v>173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Storage K Ratios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  Siddhant</cp:lastModifiedBy>
  <dcterms:modified xsi:type="dcterms:W3CDTF">2026-05-18T03:10:23Z</dcterms:modified>
</cp:coreProperties>
</file>